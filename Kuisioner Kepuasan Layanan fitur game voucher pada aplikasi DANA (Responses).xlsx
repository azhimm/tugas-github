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Mata kuliah\Sistem informasi\tugas github\"/>
    </mc:Choice>
  </mc:AlternateContent>
  <xr:revisionPtr revIDLastSave="0" documentId="13_ncr:1_{79F2348D-62F3-4541-9DD5-7B245D55C8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1" i="1" l="1"/>
  <c r="V18" i="1"/>
  <c r="V19" i="1"/>
  <c r="V20" i="1"/>
  <c r="U21" i="1"/>
  <c r="S2" i="1"/>
  <c r="S9" i="1"/>
  <c r="S10" i="1"/>
  <c r="R2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R10" i="1"/>
  <c r="R11" i="1"/>
  <c r="S11" i="1" s="1"/>
</calcChain>
</file>

<file path=xl/sharedStrings.xml><?xml version="1.0" encoding="utf-8"?>
<sst xmlns="http://schemas.openxmlformats.org/spreadsheetml/2006/main" count="54" uniqueCount="45">
  <si>
    <t>Timestamp</t>
  </si>
  <si>
    <t>Score</t>
  </si>
  <si>
    <t>Nama</t>
  </si>
  <si>
    <t>Umur</t>
  </si>
  <si>
    <t>Pendidikan Terakhir</t>
  </si>
  <si>
    <t xml:space="preserve">Seberapa mudah Anda menemukan letak fitur Game Voucher di halaman utama aplikasi DANA? </t>
  </si>
  <si>
    <t xml:space="preserve">Apakah tampilan menu Game Voucher di DANA terlihat menarik dan mudah dimengerti?  </t>
  </si>
  <si>
    <t xml:space="preserve">Apakah langkah-langkah mulai dari memilih game hingga proses pembayaran terasa singkat dan tidak berbelit-belit?  </t>
  </si>
  <si>
    <t xml:space="preserve">Seberapa lengkap pilihan judul game yang tersedia (contoh: MLBB, Free Fire, PUBG, Genshin Impact, dll) di fitur Game Voucher DANA? </t>
  </si>
  <si>
    <t xml:space="preserve">Apakah pilihan jumlah denominasi (diamond/koin/voucher) yang ditawarkan sudah memenuhi kebutuhan Anda? </t>
  </si>
  <si>
    <t xml:space="preserve">Apakah harga voucher game di DANA lebih murah atau kompetitif dibandingkan dengan platform kompetitor?  </t>
  </si>
  <si>
    <r>
      <t xml:space="preserve">Seberapa puas Anda dengan ketersediaan promo, diskon, atau </t>
    </r>
    <r>
      <rPr>
        <i/>
        <sz val="10"/>
        <color theme="1"/>
        <rFont val="Arial"/>
      </rPr>
      <t>cashback</t>
    </r>
    <r>
      <rPr>
        <sz val="10"/>
        <color theme="1"/>
        <rFont val="Arial"/>
      </rPr>
      <t xml:space="preserve"> khusus untuk pembelian voucher game?  </t>
    </r>
  </si>
  <si>
    <t>Seberapa cepat sistem memproses transaksi Anda hingga pembayaran dinyatakan berhasil?</t>
  </si>
  <si>
    <r>
      <t xml:space="preserve">Seberapa cepat kode voucher atau </t>
    </r>
    <r>
      <rPr>
        <i/>
        <sz val="10"/>
        <color theme="1"/>
        <rFont val="Arial"/>
      </rPr>
      <t>top-up</t>
    </r>
    <r>
      <rPr>
        <sz val="10"/>
        <color theme="1"/>
        <rFont val="Arial"/>
      </rPr>
      <t xml:space="preserve"> otomatis masuk ke dalam akun game/email Anda setelah pembayaran?  </t>
    </r>
  </si>
  <si>
    <t xml:space="preserve">Seberapa puas Anda dengan pilihan metode pembayaran yang tersedia (Saldo DANA, Kartu Debit/Kredit, DANA Cicil)?   </t>
  </si>
  <si>
    <t xml:space="preserve">Seberapa aman dan yakin Anda melakukan transaksi pembelian voucher game melalui aplikasi DANA?   </t>
  </si>
  <si>
    <t xml:space="preserve">Seberapa besar kemungkinan Anda untuk merekomendasikan fitur Game Voucher DANA kepada teman atau komunitas gamer lainnya?  </t>
  </si>
  <si>
    <t>SMA/ Sederajat</t>
  </si>
  <si>
    <t>Miftah Affandi</t>
  </si>
  <si>
    <t>Rizky Attoillah</t>
  </si>
  <si>
    <t>Rinita</t>
  </si>
  <si>
    <t>Heryanto</t>
  </si>
  <si>
    <t>Sarjana</t>
  </si>
  <si>
    <t>Fajar dwi bima laksana yudayana</t>
  </si>
  <si>
    <t>Ferdy yahya</t>
  </si>
  <si>
    <t>Ahmad Fadhillah</t>
  </si>
  <si>
    <t>Reza adrian</t>
  </si>
  <si>
    <t>Muhammad ikhwan</t>
  </si>
  <si>
    <t>Muhammad rizky febrian</t>
  </si>
  <si>
    <t>Skor Total</t>
  </si>
  <si>
    <t>Kategori</t>
  </si>
  <si>
    <t>Nilai</t>
  </si>
  <si>
    <t>Sangat Tidak Puas</t>
  </si>
  <si>
    <t xml:space="preserve"> Tidak Puas</t>
  </si>
  <si>
    <t xml:space="preserve">Netral </t>
  </si>
  <si>
    <t>Sangat Puas</t>
  </si>
  <si>
    <t>Cukup Puas</t>
  </si>
  <si>
    <t>Interval</t>
  </si>
  <si>
    <t>1-1,80</t>
  </si>
  <si>
    <t>1.81-2,60</t>
  </si>
  <si>
    <t>2,61-3,40</t>
  </si>
  <si>
    <t>3,41-4,20</t>
  </si>
  <si>
    <t>4,21-5</t>
  </si>
  <si>
    <t>Persentase</t>
  </si>
  <si>
    <t>Frekuensi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</si>
</sst>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2" formatCode="0.0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'Form Responses 1'!$V$15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'Form Responses 1'!$V$16:$V$20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 formatCode="0%">
                  <c:v>0.4</c:v>
                </c:pt>
                <c:pt idx="3" formatCode="0%">
                  <c:v>0.4</c:v>
                </c:pt>
                <c:pt idx="4" formatCode="0%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5-4653-89D5-F7E20C5B75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426720</xdr:colOff>
      <xdr:row>12</xdr:row>
      <xdr:rowOff>186690</xdr:rowOff>
    </xdr:from>
    <xdr:to>
      <xdr:col>16</xdr:col>
      <xdr:colOff>2415540</xdr:colOff>
      <xdr:row>26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35817-6102-3928-6BC9-50DC75225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S11">
  <tableColumns count="19">
    <tableColumn id="1" xr3:uid="{00000000-0010-0000-0000-000001000000}" name="Timestamp"/>
    <tableColumn id="2" xr3:uid="{00000000-0010-0000-0000-000002000000}" name="Score"/>
    <tableColumn id="3" xr3:uid="{00000000-0010-0000-0000-000003000000}" name="Nama"/>
    <tableColumn id="4" xr3:uid="{00000000-0010-0000-0000-000004000000}" name="Umur"/>
    <tableColumn id="5" xr3:uid="{00000000-0010-0000-0000-000005000000}" name="Pendidikan Terakhir"/>
    <tableColumn id="6" xr3:uid="{00000000-0010-0000-0000-000006000000}" name="Seberapa mudah Anda menemukan letak fitur Game Voucher di halaman utama aplikasi DANA? "/>
    <tableColumn id="7" xr3:uid="{00000000-0010-0000-0000-000007000000}" name="Apakah tampilan menu Game Voucher di DANA terlihat menarik dan mudah dimengerti?  "/>
    <tableColumn id="8" xr3:uid="{00000000-0010-0000-0000-000008000000}" name="Apakah langkah-langkah mulai dari memilih game hingga proses pembayaran terasa singkat dan tidak berbelit-belit?  "/>
    <tableColumn id="9" xr3:uid="{00000000-0010-0000-0000-000009000000}" name="Seberapa lengkap pilihan judul game yang tersedia (contoh: MLBB, Free Fire, PUBG, Genshin Impact, dll) di fitur Game Voucher DANA? "/>
    <tableColumn id="10" xr3:uid="{00000000-0010-0000-0000-00000A000000}" name="Apakah pilihan jumlah denominasi (diamond/koin/voucher) yang ditawarkan sudah memenuhi kebutuhan Anda? "/>
    <tableColumn id="11" xr3:uid="{00000000-0010-0000-0000-00000B000000}" name="Apakah harga voucher game di DANA lebih murah atau kompetitif dibandingkan dengan platform kompetitor?  "/>
    <tableColumn id="12" xr3:uid="{00000000-0010-0000-0000-00000C000000}" name="Seberapa puas Anda dengan ketersediaan promo, diskon, atau cashback khusus untuk pembelian voucher game?  "/>
    <tableColumn id="13" xr3:uid="{00000000-0010-0000-0000-00000D000000}" name="Seberapa cepat sistem memproses transaksi Anda hingga pembayaran dinyatakan berhasil?"/>
    <tableColumn id="14" xr3:uid="{00000000-0010-0000-0000-00000E000000}" name="Seberapa cepat kode voucher atau top-up otomatis masuk ke dalam akun game/email Anda setelah pembayaran?  "/>
    <tableColumn id="15" xr3:uid="{00000000-0010-0000-0000-00000F000000}" name="Seberapa puas Anda dengan pilihan metode pembayaran yang tersedia (Saldo DANA, Kartu Debit/Kredit, DANA Cicil)?   "/>
    <tableColumn id="16" xr3:uid="{00000000-0010-0000-0000-000010000000}" name="Seberapa aman dan yakin Anda melakukan transaksi pembelian voucher game melalui aplikasi DANA?   "/>
    <tableColumn id="17" xr3:uid="{00000000-0010-0000-0000-000011000000}" name="Seberapa besar kemungkinan Anda untuk merekomendasikan fitur Game Voucher DANA kepada teman atau komunitas gamer lainnya?  "/>
    <tableColumn id="18" xr3:uid="{4F1A543B-D209-4321-BFE4-9AB391783E53}" name="Skor Total" dataDxfId="1">
      <calculatedColumnFormula>SUM(Form_Responses[[#This Row],[Seberapa mudah Anda menemukan letak fitur Game Voucher di halaman utama aplikasi DANA? ]:[Seberapa besar kemungkinan Anda untuk merekomendasikan fitur Game Voucher DANA kepada teman atau komunitas gamer lainnya?  ]])/12</calculatedColumnFormula>
    </tableColumn>
    <tableColumn id="19" xr3:uid="{7A009C11-C2F3-436E-8949-0CEE70F405C5}" name="Kategori" dataDxfId="0">
      <calculatedColumnFormula>IF(R2&lt;=1.8,"SANGAT TIDAK PUAS",IF(R2&lt;=2.6,"TIDAK PUAS",IF(R2&lt;=3.4,"NETRAL",IF(R2&lt;=4.2,"CUKUP PUAS",IF(R2&lt;=5,"SANGAT PUAS")))))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V21"/>
  <sheetViews>
    <sheetView tabSelected="1" topLeftCell="Q1" workbookViewId="0">
      <pane ySplit="1" topLeftCell="A3" activePane="bottomLeft" state="frozen"/>
      <selection pane="bottomLeft" activeCell="R15" sqref="R15:V21"/>
    </sheetView>
  </sheetViews>
  <sheetFormatPr defaultColWidth="12.6640625" defaultRowHeight="15.75" customHeight="1" x14ac:dyDescent="0.25"/>
  <cols>
    <col min="1" max="4" width="18.88671875" customWidth="1"/>
    <col min="5" max="5" width="19.6640625" customWidth="1"/>
    <col min="6" max="17" width="37.6640625" customWidth="1"/>
    <col min="18" max="23" width="18.88671875" customWidth="1"/>
  </cols>
  <sheetData>
    <row r="1" spans="1:2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29</v>
      </c>
      <c r="S1" t="s">
        <v>30</v>
      </c>
    </row>
    <row r="2" spans="1:22" ht="22.5" customHeight="1" x14ac:dyDescent="0.25">
      <c r="A2" s="2">
        <v>46152.781293310181</v>
      </c>
      <c r="B2" s="3">
        <v>0</v>
      </c>
      <c r="C2" s="3" t="s">
        <v>18</v>
      </c>
      <c r="D2" s="3">
        <v>21</v>
      </c>
      <c r="E2" s="3" t="s">
        <v>17</v>
      </c>
      <c r="F2" s="3">
        <v>3</v>
      </c>
      <c r="G2" s="3">
        <v>2</v>
      </c>
      <c r="H2" s="3">
        <v>2</v>
      </c>
      <c r="I2" s="3">
        <v>4</v>
      </c>
      <c r="J2" s="3">
        <v>1</v>
      </c>
      <c r="K2" s="3">
        <v>4</v>
      </c>
      <c r="L2" s="3">
        <v>4</v>
      </c>
      <c r="M2" s="3">
        <v>5</v>
      </c>
      <c r="N2" s="3">
        <v>4</v>
      </c>
      <c r="O2" s="3">
        <v>3</v>
      </c>
      <c r="P2" s="3">
        <v>4</v>
      </c>
      <c r="Q2" s="3">
        <v>4</v>
      </c>
      <c r="R2" s="4">
        <f>SUM(Form_Responses[[#This Row],[Seberapa mudah Anda menemukan letak fitur Game Voucher di halaman utama aplikasi DANA? ]:[Seberapa besar kemungkinan Anda untuk merekomendasikan fitur Game Voucher DANA kepada teman atau komunitas gamer lainnya?  ]])/12</f>
        <v>3.3333333333333335</v>
      </c>
      <c r="S2" t="str">
        <f t="shared" ref="S2:S11" si="0">IF(R2&lt;=1.8,"SANGAT TIDAK PUAS",IF(R2&lt;=2.6,"TIDAK PUAS",IF(R2&lt;=3.4,"NETRAL",IF(R2&lt;=4.2,"CUKUP PUAS",IF(R2&lt;=5,"SANGAT PUAS")))))</f>
        <v>NETRAL</v>
      </c>
    </row>
    <row r="3" spans="1:22" ht="22.5" customHeight="1" x14ac:dyDescent="0.25">
      <c r="A3" s="2">
        <v>46153.45722434028</v>
      </c>
      <c r="B3" s="3">
        <v>0</v>
      </c>
      <c r="C3" s="3" t="s">
        <v>19</v>
      </c>
      <c r="D3" s="3">
        <v>19</v>
      </c>
      <c r="E3" s="3" t="s">
        <v>17</v>
      </c>
      <c r="F3" s="3">
        <v>3</v>
      </c>
      <c r="G3" s="3">
        <v>4</v>
      </c>
      <c r="H3" s="3">
        <v>4</v>
      </c>
      <c r="I3" s="3">
        <v>3</v>
      </c>
      <c r="J3" s="3">
        <v>4</v>
      </c>
      <c r="K3" s="3">
        <v>5</v>
      </c>
      <c r="L3" s="3">
        <v>5</v>
      </c>
      <c r="M3" s="3">
        <v>3</v>
      </c>
      <c r="N3" s="3">
        <v>3</v>
      </c>
      <c r="O3" s="3">
        <v>4</v>
      </c>
      <c r="P3" s="3">
        <v>5</v>
      </c>
      <c r="Q3" s="3">
        <v>2</v>
      </c>
      <c r="R3" s="4">
        <f>SUM(Form_Responses[[#This Row],[Seberapa mudah Anda menemukan letak fitur Game Voucher di halaman utama aplikasi DANA? ]:[Seberapa besar kemungkinan Anda untuk merekomendasikan fitur Game Voucher DANA kepada teman atau komunitas gamer lainnya?  ]])/12</f>
        <v>3.75</v>
      </c>
      <c r="S3" t="str">
        <f t="shared" si="0"/>
        <v>CUKUP PUAS</v>
      </c>
    </row>
    <row r="4" spans="1:22" ht="22.5" customHeight="1" x14ac:dyDescent="0.25">
      <c r="A4" s="2">
        <v>46153.457742534723</v>
      </c>
      <c r="B4" s="3">
        <v>0</v>
      </c>
      <c r="C4" s="3" t="s">
        <v>20</v>
      </c>
      <c r="D4" s="3">
        <v>19</v>
      </c>
      <c r="E4" s="3" t="s">
        <v>17</v>
      </c>
      <c r="F4" s="3">
        <v>3</v>
      </c>
      <c r="G4" s="3">
        <v>3</v>
      </c>
      <c r="H4" s="3">
        <v>5</v>
      </c>
      <c r="I4" s="3">
        <v>3</v>
      </c>
      <c r="J4" s="3">
        <v>2</v>
      </c>
      <c r="K4" s="3">
        <v>4</v>
      </c>
      <c r="L4" s="3">
        <v>3</v>
      </c>
      <c r="M4" s="3">
        <v>4</v>
      </c>
      <c r="N4" s="3">
        <v>3</v>
      </c>
      <c r="O4" s="3">
        <v>5</v>
      </c>
      <c r="P4" s="3">
        <v>4</v>
      </c>
      <c r="Q4" s="3">
        <v>3</v>
      </c>
      <c r="R4" s="4">
        <f>SUM(Form_Responses[[#This Row],[Seberapa mudah Anda menemukan letak fitur Game Voucher di halaman utama aplikasi DANA? ]:[Seberapa besar kemungkinan Anda untuk merekomendasikan fitur Game Voucher DANA kepada teman atau komunitas gamer lainnya?  ]])/12</f>
        <v>3.5</v>
      </c>
      <c r="S4" t="str">
        <f t="shared" si="0"/>
        <v>CUKUP PUAS</v>
      </c>
    </row>
    <row r="5" spans="1:22" ht="22.5" customHeight="1" x14ac:dyDescent="0.25">
      <c r="A5" s="2">
        <v>46153.458243125002</v>
      </c>
      <c r="B5" s="3">
        <v>0</v>
      </c>
      <c r="C5" s="3" t="s">
        <v>21</v>
      </c>
      <c r="D5" s="3">
        <v>36</v>
      </c>
      <c r="E5" s="3" t="s">
        <v>22</v>
      </c>
      <c r="F5" s="3">
        <v>2</v>
      </c>
      <c r="G5" s="3">
        <v>4</v>
      </c>
      <c r="H5" s="3">
        <v>4</v>
      </c>
      <c r="I5" s="3">
        <v>3</v>
      </c>
      <c r="J5" s="3">
        <v>3</v>
      </c>
      <c r="K5" s="3">
        <v>2</v>
      </c>
      <c r="L5" s="3">
        <v>4</v>
      </c>
      <c r="M5" s="3">
        <v>4</v>
      </c>
      <c r="N5" s="3">
        <v>4</v>
      </c>
      <c r="O5" s="3">
        <v>3</v>
      </c>
      <c r="P5" s="3">
        <v>4</v>
      </c>
      <c r="Q5" s="3">
        <v>2</v>
      </c>
      <c r="R5" s="4">
        <f>SUM(Form_Responses[[#This Row],[Seberapa mudah Anda menemukan letak fitur Game Voucher di halaman utama aplikasi DANA? ]:[Seberapa besar kemungkinan Anda untuk merekomendasikan fitur Game Voucher DANA kepada teman atau komunitas gamer lainnya?  ]])/12</f>
        <v>3.25</v>
      </c>
      <c r="S5" t="str">
        <f t="shared" si="0"/>
        <v>NETRAL</v>
      </c>
    </row>
    <row r="6" spans="1:22" ht="22.5" customHeight="1" x14ac:dyDescent="0.25">
      <c r="A6" s="2">
        <v>46153.461405416667</v>
      </c>
      <c r="B6" s="3">
        <v>0</v>
      </c>
      <c r="C6" s="3" t="s">
        <v>23</v>
      </c>
      <c r="D6" s="3">
        <v>22</v>
      </c>
      <c r="E6" s="3" t="s">
        <v>17</v>
      </c>
      <c r="F6" s="3">
        <v>4</v>
      </c>
      <c r="G6" s="3">
        <v>5</v>
      </c>
      <c r="H6" s="3">
        <v>5</v>
      </c>
      <c r="I6" s="3">
        <v>4</v>
      </c>
      <c r="J6" s="3">
        <v>5</v>
      </c>
      <c r="K6" s="3">
        <v>5</v>
      </c>
      <c r="L6" s="3">
        <v>5</v>
      </c>
      <c r="M6" s="3">
        <v>4</v>
      </c>
      <c r="N6" s="3">
        <v>4</v>
      </c>
      <c r="O6" s="3">
        <v>5</v>
      </c>
      <c r="P6" s="3">
        <v>4</v>
      </c>
      <c r="Q6" s="3">
        <v>3</v>
      </c>
      <c r="R6" s="4">
        <f>SUM(Form_Responses[[#This Row],[Seberapa mudah Anda menemukan letak fitur Game Voucher di halaman utama aplikasi DANA? ]:[Seberapa besar kemungkinan Anda untuk merekomendasikan fitur Game Voucher DANA kepada teman atau komunitas gamer lainnya?  ]])/12</f>
        <v>4.416666666666667</v>
      </c>
      <c r="S6" t="str">
        <f t="shared" si="0"/>
        <v>SANGAT PUAS</v>
      </c>
    </row>
    <row r="7" spans="1:22" ht="22.5" customHeight="1" x14ac:dyDescent="0.25">
      <c r="A7" s="2">
        <v>46153.464379583333</v>
      </c>
      <c r="B7" s="3">
        <v>0</v>
      </c>
      <c r="C7" s="3" t="s">
        <v>24</v>
      </c>
      <c r="D7" s="3">
        <v>23</v>
      </c>
      <c r="E7" s="3" t="s">
        <v>17</v>
      </c>
      <c r="F7" s="3">
        <v>4</v>
      </c>
      <c r="G7" s="3">
        <v>5</v>
      </c>
      <c r="H7" s="3">
        <v>3</v>
      </c>
      <c r="I7" s="3">
        <v>4</v>
      </c>
      <c r="J7" s="3">
        <v>4</v>
      </c>
      <c r="K7" s="3">
        <v>5</v>
      </c>
      <c r="L7" s="3">
        <v>3</v>
      </c>
      <c r="M7" s="3">
        <v>5</v>
      </c>
      <c r="N7" s="3">
        <v>5</v>
      </c>
      <c r="O7" s="3">
        <v>5</v>
      </c>
      <c r="P7" s="3">
        <v>3</v>
      </c>
      <c r="Q7" s="3">
        <v>5</v>
      </c>
      <c r="R7" s="4">
        <f>SUM(Form_Responses[[#This Row],[Seberapa mudah Anda menemukan letak fitur Game Voucher di halaman utama aplikasi DANA? ]:[Seberapa besar kemungkinan Anda untuk merekomendasikan fitur Game Voucher DANA kepada teman atau komunitas gamer lainnya?  ]])/12</f>
        <v>4.25</v>
      </c>
      <c r="S7" t="str">
        <f t="shared" si="0"/>
        <v>SANGAT PUAS</v>
      </c>
    </row>
    <row r="8" spans="1:22" ht="22.5" customHeight="1" x14ac:dyDescent="0.25">
      <c r="A8" s="2">
        <v>46153.465004386569</v>
      </c>
      <c r="B8" s="3">
        <v>0</v>
      </c>
      <c r="C8" s="3" t="s">
        <v>25</v>
      </c>
      <c r="D8" s="3">
        <v>19</v>
      </c>
      <c r="E8" s="3" t="s">
        <v>17</v>
      </c>
      <c r="F8" s="3">
        <v>4</v>
      </c>
      <c r="G8" s="3">
        <v>3</v>
      </c>
      <c r="H8" s="3">
        <v>3</v>
      </c>
      <c r="I8" s="3">
        <v>3</v>
      </c>
      <c r="J8" s="3">
        <v>3</v>
      </c>
      <c r="K8" s="3">
        <v>3</v>
      </c>
      <c r="L8" s="3">
        <v>3</v>
      </c>
      <c r="M8" s="3">
        <v>3</v>
      </c>
      <c r="N8" s="3">
        <v>3</v>
      </c>
      <c r="O8" s="3">
        <v>4</v>
      </c>
      <c r="P8" s="3">
        <v>3</v>
      </c>
      <c r="Q8" s="3">
        <v>3</v>
      </c>
      <c r="R8" s="4">
        <f>SUM(Form_Responses[[#This Row],[Seberapa mudah Anda menemukan letak fitur Game Voucher di halaman utama aplikasi DANA? ]:[Seberapa besar kemungkinan Anda untuk merekomendasikan fitur Game Voucher DANA kepada teman atau komunitas gamer lainnya?  ]])/12</f>
        <v>3.1666666666666665</v>
      </c>
      <c r="S8" t="str">
        <f t="shared" si="0"/>
        <v>NETRAL</v>
      </c>
    </row>
    <row r="9" spans="1:22" ht="22.5" customHeight="1" x14ac:dyDescent="0.25">
      <c r="A9" s="2">
        <v>46153.465557314819</v>
      </c>
      <c r="B9" s="3">
        <v>0</v>
      </c>
      <c r="C9" s="3" t="s">
        <v>26</v>
      </c>
      <c r="D9" s="3">
        <v>21</v>
      </c>
      <c r="E9" s="3" t="s">
        <v>17</v>
      </c>
      <c r="F9" s="3">
        <v>3</v>
      </c>
      <c r="G9" s="3">
        <v>2</v>
      </c>
      <c r="H9" s="3">
        <v>3</v>
      </c>
      <c r="I9" s="3">
        <v>3</v>
      </c>
      <c r="J9" s="3">
        <v>4</v>
      </c>
      <c r="K9" s="3">
        <v>3</v>
      </c>
      <c r="L9" s="3">
        <v>3</v>
      </c>
      <c r="M9" s="3">
        <v>3</v>
      </c>
      <c r="N9" s="3">
        <v>2</v>
      </c>
      <c r="O9" s="3">
        <v>4</v>
      </c>
      <c r="P9" s="3">
        <v>3</v>
      </c>
      <c r="Q9" s="3">
        <v>3</v>
      </c>
      <c r="R9" s="4">
        <f>SUM(Form_Responses[[#This Row],[Seberapa mudah Anda menemukan letak fitur Game Voucher di halaman utama aplikasi DANA? ]:[Seberapa besar kemungkinan Anda untuk merekomendasikan fitur Game Voucher DANA kepada teman atau komunitas gamer lainnya?  ]])/12</f>
        <v>3</v>
      </c>
      <c r="S9" t="str">
        <f t="shared" si="0"/>
        <v>NETRAL</v>
      </c>
    </row>
    <row r="10" spans="1:22" ht="22.5" customHeight="1" x14ac:dyDescent="0.25">
      <c r="A10" s="2">
        <v>46153.466291168981</v>
      </c>
      <c r="B10" s="3">
        <v>0</v>
      </c>
      <c r="C10" s="3" t="s">
        <v>27</v>
      </c>
      <c r="D10" s="3">
        <v>22</v>
      </c>
      <c r="E10" s="3" t="s">
        <v>17</v>
      </c>
      <c r="F10" s="3">
        <v>4</v>
      </c>
      <c r="G10" s="3">
        <v>3</v>
      </c>
      <c r="H10" s="3">
        <v>4</v>
      </c>
      <c r="I10" s="3">
        <v>4</v>
      </c>
      <c r="J10" s="3">
        <v>3</v>
      </c>
      <c r="K10" s="3">
        <v>4</v>
      </c>
      <c r="L10" s="3">
        <v>4</v>
      </c>
      <c r="M10" s="3">
        <v>3</v>
      </c>
      <c r="N10" s="3">
        <v>4</v>
      </c>
      <c r="O10" s="3">
        <v>3</v>
      </c>
      <c r="P10" s="3">
        <v>4</v>
      </c>
      <c r="Q10" s="3">
        <v>4</v>
      </c>
      <c r="R10" s="4">
        <f>SUM(Form_Responses[[#This Row],[Seberapa mudah Anda menemukan letak fitur Game Voucher di halaman utama aplikasi DANA? ]:[Seberapa besar kemungkinan Anda untuk merekomendasikan fitur Game Voucher DANA kepada teman atau komunitas gamer lainnya?  ]])/12</f>
        <v>3.6666666666666665</v>
      </c>
      <c r="S10" t="str">
        <f t="shared" si="0"/>
        <v>CUKUP PUAS</v>
      </c>
    </row>
    <row r="11" spans="1:22" ht="22.5" customHeight="1" x14ac:dyDescent="0.25">
      <c r="A11" s="2">
        <v>46153.467808657406</v>
      </c>
      <c r="B11" s="3">
        <v>0</v>
      </c>
      <c r="C11" s="3" t="s">
        <v>28</v>
      </c>
      <c r="D11" s="3">
        <v>23</v>
      </c>
      <c r="E11" s="3" t="s">
        <v>17</v>
      </c>
      <c r="F11" s="3">
        <v>4</v>
      </c>
      <c r="G11" s="3">
        <v>3</v>
      </c>
      <c r="H11" s="3">
        <v>3</v>
      </c>
      <c r="I11" s="3">
        <v>4</v>
      </c>
      <c r="J11" s="3">
        <v>3</v>
      </c>
      <c r="K11" s="3">
        <v>4</v>
      </c>
      <c r="L11" s="3">
        <v>3</v>
      </c>
      <c r="M11" s="3">
        <v>5</v>
      </c>
      <c r="N11" s="3">
        <v>5</v>
      </c>
      <c r="O11" s="3">
        <v>5</v>
      </c>
      <c r="P11" s="3">
        <v>3</v>
      </c>
      <c r="Q11" s="3">
        <v>4</v>
      </c>
      <c r="R11" s="4">
        <f>SUM(Form_Responses[[#This Row],[Seberapa mudah Anda menemukan letak fitur Game Voucher di halaman utama aplikasi DANA? ]:[Seberapa besar kemungkinan Anda untuk merekomendasikan fitur Game Voucher DANA kepada teman atau komunitas gamer lainnya?  ]])/12</f>
        <v>3.8333333333333335</v>
      </c>
      <c r="S11" t="str">
        <f t="shared" si="0"/>
        <v>CUKUP PUAS</v>
      </c>
    </row>
    <row r="15" spans="1:22" ht="15.75" customHeight="1" x14ac:dyDescent="0.25">
      <c r="R15" t="s">
        <v>37</v>
      </c>
      <c r="S15" t="s">
        <v>30</v>
      </c>
      <c r="T15" t="s">
        <v>31</v>
      </c>
      <c r="U15" t="s">
        <v>44</v>
      </c>
      <c r="V15" t="s">
        <v>43</v>
      </c>
    </row>
    <row r="16" spans="1:22" ht="15.75" customHeight="1" x14ac:dyDescent="0.25">
      <c r="R16" t="s">
        <v>38</v>
      </c>
      <c r="S16" t="s">
        <v>32</v>
      </c>
      <c r="T16">
        <v>1</v>
      </c>
      <c r="U16">
        <v>0</v>
      </c>
      <c r="V16">
        <v>0</v>
      </c>
    </row>
    <row r="17" spans="18:22" ht="15.75" customHeight="1" x14ac:dyDescent="0.25">
      <c r="R17" t="s">
        <v>39</v>
      </c>
      <c r="S17" t="s">
        <v>33</v>
      </c>
      <c r="T17">
        <v>2</v>
      </c>
      <c r="U17">
        <v>0</v>
      </c>
      <c r="V17">
        <v>0</v>
      </c>
    </row>
    <row r="18" spans="18:22" ht="15.75" customHeight="1" x14ac:dyDescent="0.25">
      <c r="R18" t="s">
        <v>40</v>
      </c>
      <c r="S18" t="s">
        <v>34</v>
      </c>
      <c r="T18">
        <v>3</v>
      </c>
      <c r="U18">
        <v>4</v>
      </c>
      <c r="V18" s="5">
        <f>U18/10</f>
        <v>0.4</v>
      </c>
    </row>
    <row r="19" spans="18:22" ht="15.75" customHeight="1" x14ac:dyDescent="0.25">
      <c r="R19" t="s">
        <v>41</v>
      </c>
      <c r="S19" t="s">
        <v>36</v>
      </c>
      <c r="T19">
        <v>4</v>
      </c>
      <c r="U19">
        <v>4</v>
      </c>
      <c r="V19" s="5">
        <f t="shared" ref="V19:V20" si="1">U19/10</f>
        <v>0.4</v>
      </c>
    </row>
    <row r="20" spans="18:22" ht="15.75" customHeight="1" x14ac:dyDescent="0.25">
      <c r="R20" t="s">
        <v>42</v>
      </c>
      <c r="S20" t="s">
        <v>35</v>
      </c>
      <c r="T20">
        <v>5</v>
      </c>
      <c r="U20">
        <v>2</v>
      </c>
      <c r="V20" s="5">
        <f t="shared" si="1"/>
        <v>0.2</v>
      </c>
    </row>
    <row r="21" spans="18:22" ht="15.75" customHeight="1" x14ac:dyDescent="0.25">
      <c r="U21">
        <f>SUM(U16:U20)</f>
        <v>10</v>
      </c>
      <c r="V21" s="6">
        <f>SUM(V18:V20)</f>
        <v>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laptop</cp:lastModifiedBy>
  <dcterms:created xsi:type="dcterms:W3CDTF">2026-05-13T13:55:21Z</dcterms:created>
  <dcterms:modified xsi:type="dcterms:W3CDTF">2026-05-13T14:22:18Z</dcterms:modified>
</cp:coreProperties>
</file>